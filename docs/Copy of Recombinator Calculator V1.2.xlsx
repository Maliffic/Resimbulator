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" sheetId="1" r:id="rId5"/>
    <sheet state="visible" name="hardcoded" sheetId="2" r:id="rId6"/>
  </sheets>
  <definedNames/>
  <calcPr/>
</workbook>
</file>

<file path=xl/sharedStrings.xml><?xml version="1.0" encoding="utf-8"?>
<sst xmlns="http://schemas.openxmlformats.org/spreadsheetml/2006/main" count="74" uniqueCount="56">
  <si>
    <t>0. 
MAKE A PERSONAL COPY OF THE CALCULATOR</t>
  </si>
  <si>
    <t>Version History
1.1 Fix the issue reported by darkeagls on Reddit
1.2 Fixed an issue created by fixing the previous issue(yep xD)</t>
  </si>
  <si>
    <t>PREFIXES</t>
  </si>
  <si>
    <t>SUFFIXES</t>
  </si>
  <si>
    <t>1. 
INSERT THE PREFIXES AND SUFFIXES OF THE TWO ITEMS TO RECOMBINE</t>
  </si>
  <si>
    <t>ITEM 1</t>
  </si>
  <si>
    <t>fossil</t>
  </si>
  <si>
    <t>armour</t>
  </si>
  <si>
    <t>shrine</t>
  </si>
  <si>
    <t>ITEM 2</t>
  </si>
  <si>
    <t>nr of desired</t>
  </si>
  <si>
    <t>mods in pref</t>
  </si>
  <si>
    <t>mods in suff</t>
  </si>
  <si>
    <t xml:space="preserve">2. 
PICK THE MODS YOU WANT THE RECOMBINED ITEM TO HAVE
</t>
  </si>
  <si>
    <t>CHANCE</t>
  </si>
  <si>
    <t>4. 
SEE THE CHANCE OF GETTING THOSE MODS ON THE FINAL ITEM</t>
  </si>
  <si>
    <t>PREFIX</t>
  </si>
  <si>
    <t>SUFFIX</t>
  </si>
  <si>
    <t>ODD</t>
  </si>
  <si>
    <t>CALCS AND STUFF, DONT TOUCH</t>
  </si>
  <si>
    <t>UNIQUE PREF</t>
  </si>
  <si>
    <t>UNIQUE SUFF</t>
  </si>
  <si>
    <t>prefix chosen</t>
  </si>
  <si>
    <t>suf chosen</t>
  </si>
  <si>
    <t>Quero</t>
  </si>
  <si>
    <t>prob</t>
  </si>
  <si>
    <t>desired</t>
  </si>
  <si>
    <t>undesired</t>
  </si>
  <si>
    <t>desired pool</t>
  </si>
  <si>
    <t>how many</t>
  </si>
  <si>
    <t>emtpy</t>
  </si>
  <si>
    <t>--</t>
  </si>
  <si>
    <t>---</t>
  </si>
  <si>
    <t>----</t>
  </si>
  <si>
    <t>-----</t>
  </si>
  <si>
    <t>------</t>
  </si>
  <si>
    <t>-------</t>
  </si>
  <si>
    <t>--------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</si>
  <si>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</si>
  <si>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</si>
  <si>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</si>
  <si>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</si>
  <si>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</si>
  <si>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</si>
  <si>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</si>
  <si>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</si>
  <si>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</si>
  <si>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</si>
  <si>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</si>
  <si>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</si>
  <si>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</si>
  <si>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</si>
  <si>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</si>
  <si>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</si>
  <si>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</si>
  <si>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3-6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</si>
</sst>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Comfortaa"/>
    </font>
    <font>
      <b/>
      <sz val="11.0"/>
      <color theme="1"/>
      <name val="Calibri"/>
    </font>
    <font>
      <b/>
      <sz val="8.0"/>
      <color rgb="FFFFFFFF"/>
      <name val="Comfortaa"/>
    </font>
    <font>
      <b/>
      <sz val="11.0"/>
      <color rgb="FFFFFFFF"/>
      <name val="Comfortaa"/>
    </font>
    <font/>
    <font>
      <color theme="1"/>
      <name val="Calibri"/>
      <scheme val="minor"/>
    </font>
    <font>
      <sz val="14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999999"/>
        <bgColor rgb="FF999999"/>
      </patternFill>
    </fill>
    <fill>
      <patternFill patternType="solid">
        <fgColor rgb="FFD5A6BD"/>
        <bgColor rgb="FFD5A6BD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</fills>
  <borders count="3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shrinkToFit="0" vertical="center" wrapText="1"/>
    </xf>
    <xf borderId="0" fillId="0" fontId="3" numFmtId="0" xfId="0" applyFont="1"/>
    <xf borderId="0" fillId="3" fontId="4" numFmtId="0" xfId="0" applyAlignment="1" applyFill="1" applyFont="1">
      <alignment readingOrder="0" shrinkToFit="0" vertical="top" wrapText="1"/>
    </xf>
    <xf borderId="1" fillId="0" fontId="1" numFmtId="0" xfId="0" applyBorder="1" applyFont="1"/>
    <xf borderId="2" fillId="0" fontId="3" numFmtId="0" xfId="0" applyBorder="1" applyFont="1"/>
    <xf borderId="3" fillId="0" fontId="3" numFmtId="0" xfId="0" applyBorder="1" applyFont="1"/>
    <xf borderId="2" fillId="0" fontId="1" numFmtId="0" xfId="0" applyBorder="1" applyFont="1"/>
    <xf borderId="0" fillId="4" fontId="5" numFmtId="0" xfId="0" applyAlignment="1" applyFill="1" applyFont="1">
      <alignment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5" fontId="1" numFmtId="0" xfId="0" applyAlignment="1" applyBorder="1" applyFill="1" applyFont="1">
      <alignment readingOrder="0"/>
    </xf>
    <xf borderId="6" fillId="5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5" fontId="1" numFmtId="0" xfId="0" applyAlignment="1" applyBorder="1" applyFont="1">
      <alignment readingOrder="0"/>
    </xf>
    <xf borderId="12" fillId="5" fontId="1" numFmtId="0" xfId="0" applyAlignment="1" applyBorder="1" applyFont="1">
      <alignment readingOrder="0"/>
    </xf>
    <xf borderId="13" fillId="0" fontId="6" numFmtId="0" xfId="0" applyBorder="1" applyFont="1"/>
    <xf borderId="0" fillId="4" fontId="1" numFmtId="0" xfId="0" applyFont="1"/>
    <xf borderId="8" fillId="0" fontId="1" numFmtId="0" xfId="0" applyAlignment="1" applyBorder="1" applyFont="1">
      <alignment horizontal="center" vertical="center"/>
    </xf>
    <xf borderId="14" fillId="6" fontId="1" numFmtId="0" xfId="0" applyAlignment="1" applyBorder="1" applyFill="1" applyFont="1">
      <alignment readingOrder="0"/>
    </xf>
    <xf borderId="15" fillId="6" fontId="1" numFmtId="0" xfId="0" applyAlignment="1" applyBorder="1" applyFont="1">
      <alignment readingOrder="0"/>
    </xf>
    <xf borderId="9" fillId="0" fontId="1" numFmtId="0" xfId="0" applyAlignment="1" applyBorder="1" applyFont="1">
      <alignment horizontal="center" vertical="center"/>
    </xf>
    <xf borderId="5" fillId="6" fontId="1" numFmtId="0" xfId="0" applyAlignment="1" applyBorder="1" applyFont="1">
      <alignment readingOrder="0"/>
    </xf>
    <xf borderId="6" fillId="6" fontId="1" numFmtId="0" xfId="0" applyAlignment="1" applyBorder="1" applyFont="1">
      <alignment readingOrder="0"/>
    </xf>
    <xf borderId="11" fillId="6" fontId="1" numFmtId="0" xfId="0" applyAlignment="1" applyBorder="1" applyFont="1">
      <alignment readingOrder="0"/>
    </xf>
    <xf borderId="12" fillId="6" fontId="1" numFmtId="0" xfId="0" applyAlignment="1" applyBorder="1" applyFont="1">
      <alignment readingOrder="0"/>
    </xf>
    <xf borderId="13" fillId="0" fontId="1" numFmtId="0" xfId="0" applyBorder="1" applyFont="1"/>
    <xf borderId="0" fillId="0" fontId="7" numFmtId="0" xfId="0" applyFont="1"/>
    <xf borderId="0" fillId="0" fontId="1" numFmtId="0" xfId="0" applyAlignment="1" applyFont="1">
      <alignment horizontal="left"/>
    </xf>
    <xf borderId="16" fillId="7" fontId="1" numFmtId="0" xfId="0" applyAlignment="1" applyBorder="1" applyFill="1" applyFont="1">
      <alignment horizontal="center" readingOrder="0" vertical="center"/>
    </xf>
    <xf borderId="17" fillId="7" fontId="1" numFmtId="0" xfId="0" applyBorder="1" applyFont="1"/>
    <xf borderId="18" fillId="7" fontId="1" numFmtId="0" xfId="0" applyBorder="1" applyFont="1"/>
    <xf borderId="19" fillId="7" fontId="1" numFmtId="0" xfId="0" applyAlignment="1" applyBorder="1" applyFont="1">
      <alignment horizontal="center" readingOrder="0" vertical="center"/>
    </xf>
    <xf borderId="0" fillId="8" fontId="5" numFmtId="0" xfId="0" applyAlignment="1" applyFill="1" applyFont="1">
      <alignment readingOrder="0" shrinkToFit="0" vertical="center" wrapText="1"/>
    </xf>
    <xf borderId="20" fillId="7" fontId="1" numFmtId="0" xfId="0" applyAlignment="1" applyBorder="1" applyFont="1">
      <alignment horizontal="center" readingOrder="0" vertical="center"/>
    </xf>
    <xf borderId="21" fillId="7" fontId="1" numFmtId="0" xfId="0" applyBorder="1" applyFont="1"/>
    <xf borderId="22" fillId="7" fontId="1" numFmtId="0" xfId="0" applyBorder="1" applyFont="1"/>
    <xf borderId="6" fillId="7" fontId="1" numFmtId="0" xfId="0" applyAlignment="1" applyBorder="1" applyFont="1">
      <alignment horizontal="center" readingOrder="0" vertical="center"/>
    </xf>
    <xf borderId="0" fillId="8" fontId="7" numFmtId="0" xfId="0" applyFont="1"/>
    <xf borderId="20" fillId="7" fontId="1" numFmtId="0" xfId="0" applyAlignment="1" applyBorder="1" applyFont="1">
      <alignment horizontal="center" readingOrder="0"/>
    </xf>
    <xf borderId="23" fillId="7" fontId="1" numFmtId="0" xfId="0" applyAlignment="1" applyBorder="1" applyFont="1">
      <alignment horizontal="center" readingOrder="0"/>
    </xf>
    <xf borderId="24" fillId="7" fontId="1" numFmtId="0" xfId="0" applyBorder="1" applyFont="1"/>
    <xf borderId="25" fillId="7" fontId="1" numFmtId="0" xfId="0" applyBorder="1" applyFont="1"/>
    <xf borderId="12" fillId="7" fontId="1" numFmtId="0" xfId="0" applyAlignment="1" applyBorder="1" applyFont="1">
      <alignment horizontal="center" readingOrder="0" vertical="center"/>
    </xf>
    <xf borderId="26" fillId="7" fontId="8" numFmtId="0" xfId="0" applyAlignment="1" applyBorder="1" applyFont="1">
      <alignment horizontal="center" readingOrder="0"/>
    </xf>
    <xf borderId="27" fillId="0" fontId="6" numFmtId="0" xfId="0" applyBorder="1" applyFont="1"/>
    <xf borderId="0" fillId="2" fontId="5" numFmtId="0" xfId="0" applyAlignment="1" applyFont="1">
      <alignment readingOrder="0" shrinkToFit="0" vertical="center" wrapText="1"/>
    </xf>
    <xf borderId="28" fillId="2" fontId="8" numFmtId="10" xfId="0" applyAlignment="1" applyBorder="1" applyFont="1" applyNumberFormat="1">
      <alignment horizontal="center"/>
    </xf>
    <xf borderId="29" fillId="0" fontId="6" numFmtId="0" xfId="0" applyBorder="1" applyFont="1"/>
    <xf borderId="0" fillId="9" fontId="7" numFmtId="0" xfId="0" applyFill="1" applyFont="1"/>
    <xf borderId="0" fillId="0" fontId="3" numFmtId="9" xfId="0" applyFont="1" applyNumberFormat="1"/>
    <xf borderId="0" fillId="0" fontId="7" numFmtId="0" xfId="0" applyAlignment="1" applyFont="1">
      <alignment readingOrder="0"/>
    </xf>
    <xf quotePrefix="1" borderId="0" fillId="0" fontId="3" numFmtId="0" xfId="0" applyFont="1"/>
    <xf borderId="0" fillId="0" fontId="3" numFmtId="0" xfId="0" applyAlignment="1" applyFont="1">
      <alignment horizontal="center"/>
    </xf>
    <xf borderId="30" fillId="0" fontId="1" numFmtId="0" xfId="0" applyBorder="1" applyFont="1"/>
    <xf borderId="31" fillId="0" fontId="1" numFmtId="0" xfId="0" applyBorder="1" applyFont="1"/>
    <xf borderId="32" fillId="0" fontId="3" numFmtId="0" xfId="0" applyBorder="1" applyFont="1"/>
    <xf borderId="0" fillId="0" fontId="1" numFmtId="0" xfId="0" applyAlignment="1" applyFont="1">
      <alignment horizontal="center"/>
    </xf>
    <xf borderId="33" fillId="0" fontId="1" numFmtId="9" xfId="0" applyAlignment="1" applyBorder="1" applyFont="1" applyNumberFormat="1">
      <alignment horizontal="center"/>
    </xf>
    <xf borderId="34" fillId="0" fontId="1" numFmtId="0" xfId="0" applyAlignment="1" applyBorder="1" applyFont="1">
      <alignment horizontal="center"/>
    </xf>
    <xf borderId="35" fillId="0" fontId="1" numFmtId="9" xfId="0" applyAlignment="1" applyBorder="1" applyFont="1" applyNumberFormat="1">
      <alignment horizontal="center"/>
    </xf>
    <xf borderId="36" fillId="0" fontId="1" numFmtId="0" xfId="0" applyAlignment="1" applyBorder="1" applyFont="1">
      <alignment horizontal="center"/>
    </xf>
    <xf borderId="32" fillId="0" fontId="1" numFmtId="9" xfId="0" applyBorder="1" applyFont="1" applyNumberFormat="1"/>
    <xf borderId="24" fillId="5" fontId="3" numFmtId="0" xfId="0" applyAlignment="1" applyBorder="1" applyFont="1">
      <alignment horizontal="center"/>
    </xf>
    <xf borderId="21" fillId="5" fontId="1" numFmtId="0" xfId="0" applyAlignment="1" applyBorder="1" applyFont="1">
      <alignment horizontal="center"/>
    </xf>
    <xf borderId="0" fillId="0" fontId="1" numFmtId="9" xfId="0" applyAlignment="1" applyFont="1" applyNumberFormat="1">
      <alignment horizontal="center" vertical="center"/>
    </xf>
    <xf borderId="33" fillId="0" fontId="3" numFmtId="9" xfId="0" applyBorder="1" applyFont="1" applyNumberFormat="1"/>
    <xf borderId="0" fillId="0" fontId="1" numFmtId="9" xfId="0" applyFont="1" applyNumberFormat="1"/>
    <xf borderId="0" fillId="7" fontId="1" numFmtId="0" xfId="0" applyAlignment="1" applyFont="1">
      <alignment horizontal="center"/>
    </xf>
    <xf borderId="24" fillId="5" fontId="1" numFmtId="0" xfId="0" applyAlignment="1" applyBorder="1" applyFont="1">
      <alignment horizontal="center"/>
    </xf>
    <xf borderId="34" fillId="0" fontId="1" numFmtId="9" xfId="0" applyAlignment="1" applyBorder="1" applyFont="1" applyNumberFormat="1">
      <alignment horizontal="center" vertical="center"/>
    </xf>
    <xf borderId="35" fillId="0" fontId="3" numFmtId="9" xfId="0" applyBorder="1" applyFont="1" applyNumberFormat="1"/>
    <xf borderId="34" fillId="0" fontId="1" numFmtId="9" xfId="0" applyBorder="1" applyFont="1" applyNumberFormat="1"/>
    <xf borderId="0" fillId="7" fontId="7" numFmtId="0" xfId="0" applyFont="1"/>
    <xf borderId="0" fillId="0" fontId="1" numFmtId="0" xfId="0" applyAlignment="1" applyFont="1">
      <alignment horizontal="center" vertical="center"/>
    </xf>
    <xf borderId="30" fillId="0" fontId="1" numFmtId="9" xfId="0" applyAlignment="1" applyBorder="1" applyFont="1" applyNumberFormat="1">
      <alignment horizontal="center" vertical="center"/>
    </xf>
    <xf borderId="31" fillId="0" fontId="1" numFmtId="9" xfId="0" applyAlignment="1" applyBorder="1" applyFont="1" applyNumberFormat="1">
      <alignment horizontal="center" vertical="center"/>
    </xf>
    <xf borderId="32" fillId="0" fontId="1" numFmtId="9" xfId="0" applyAlignment="1" applyBorder="1" applyFont="1" applyNumberFormat="1">
      <alignment horizontal="center" vertical="center"/>
    </xf>
    <xf borderId="8" fillId="0" fontId="1" numFmtId="9" xfId="0" applyAlignment="1" applyBorder="1" applyFont="1" applyNumberFormat="1">
      <alignment horizontal="center" vertical="center"/>
    </xf>
    <xf borderId="33" fillId="0" fontId="1" numFmtId="9" xfId="0" applyAlignment="1" applyBorder="1" applyFont="1" applyNumberFormat="1">
      <alignment horizontal="center" vertical="center"/>
    </xf>
    <xf quotePrefix="1" borderId="0" fillId="0" fontId="1" numFmtId="0" xfId="0" applyFont="1"/>
    <xf borderId="10" fillId="0" fontId="1" numFmtId="9" xfId="0" applyAlignment="1" applyBorder="1" applyFont="1" applyNumberFormat="1">
      <alignment horizontal="center" vertical="center"/>
    </xf>
    <xf borderId="35" fillId="0" fontId="1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71"/>
    <col customWidth="1" min="4" max="4" width="12.14"/>
    <col customWidth="1" min="5" max="6" width="18.71"/>
    <col customWidth="1" min="7" max="7" width="12.14"/>
    <col customWidth="1" min="8" max="8" width="10.43"/>
    <col customWidth="1" hidden="1" min="9" max="9" width="10.29"/>
    <col customWidth="1" min="10" max="10" width="13.14"/>
    <col customWidth="1" min="11" max="14" width="8.71"/>
  </cols>
  <sheetData>
    <row r="1">
      <c r="D1" s="1"/>
      <c r="E1" s="2" t="s">
        <v>0</v>
      </c>
      <c r="G1" s="1"/>
      <c r="H1" s="3"/>
      <c r="I1" s="3"/>
    </row>
    <row r="2">
      <c r="D2" s="1"/>
      <c r="G2" s="1"/>
      <c r="H2" s="3"/>
      <c r="I2" s="3"/>
      <c r="J2" s="4" t="s">
        <v>1</v>
      </c>
    </row>
    <row r="3">
      <c r="D3" s="1"/>
      <c r="G3" s="1"/>
      <c r="H3" s="3"/>
      <c r="I3" s="3"/>
    </row>
    <row r="4">
      <c r="D4" s="1"/>
      <c r="G4" s="1"/>
      <c r="H4" s="3"/>
      <c r="I4" s="3"/>
    </row>
    <row r="5">
      <c r="D5" s="1"/>
      <c r="G5" s="1"/>
      <c r="H5" s="3"/>
      <c r="I5" s="3"/>
    </row>
    <row r="6">
      <c r="D6" s="1"/>
      <c r="G6" s="1"/>
      <c r="H6" s="3"/>
      <c r="I6" s="3"/>
    </row>
    <row r="7">
      <c r="D7" s="1"/>
      <c r="E7" s="3"/>
      <c r="F7" s="3"/>
      <c r="G7" s="1"/>
      <c r="H7" s="3"/>
      <c r="I7" s="3"/>
    </row>
    <row r="8">
      <c r="D8" s="5"/>
      <c r="E8" s="6" t="s">
        <v>2</v>
      </c>
      <c r="F8" s="7" t="s">
        <v>3</v>
      </c>
      <c r="G8" s="8"/>
      <c r="H8" s="3"/>
      <c r="I8" s="3"/>
    </row>
    <row r="9">
      <c r="A9" s="9" t="s">
        <v>4</v>
      </c>
      <c r="C9" s="1"/>
      <c r="D9" s="10" t="s">
        <v>5</v>
      </c>
      <c r="E9" s="11"/>
      <c r="F9" s="12" t="s">
        <v>6</v>
      </c>
      <c r="G9" s="13" t="s">
        <v>5</v>
      </c>
    </row>
    <row r="10">
      <c r="C10" s="1"/>
      <c r="D10" s="14"/>
      <c r="E10" s="11"/>
      <c r="F10" s="12" t="s">
        <v>7</v>
      </c>
      <c r="G10" s="15"/>
    </row>
    <row r="11">
      <c r="C11" s="1"/>
      <c r="D11" s="16"/>
      <c r="E11" s="17"/>
      <c r="F11" s="18" t="s">
        <v>8</v>
      </c>
      <c r="G11" s="19"/>
    </row>
    <row r="12">
      <c r="C12" s="20"/>
      <c r="D12" s="21" t="s">
        <v>9</v>
      </c>
      <c r="E12" s="22"/>
      <c r="F12" s="23"/>
      <c r="G12" s="24" t="s">
        <v>9</v>
      </c>
    </row>
    <row r="13">
      <c r="C13" s="1"/>
      <c r="D13" s="14"/>
      <c r="E13" s="25"/>
      <c r="F13" s="26"/>
      <c r="G13" s="15"/>
    </row>
    <row r="14">
      <c r="C14" s="1"/>
      <c r="D14" s="16"/>
      <c r="E14" s="27"/>
      <c r="F14" s="28"/>
      <c r="G14" s="19"/>
    </row>
    <row r="15">
      <c r="A15" s="1"/>
      <c r="B15" s="1"/>
      <c r="C15" s="1"/>
      <c r="E15" s="29">
        <f t="shared" ref="E15:F15" si="1">COUNTA(E9:E14)</f>
        <v>0</v>
      </c>
      <c r="F15" s="29">
        <f t="shared" si="1"/>
        <v>3</v>
      </c>
    </row>
    <row r="16">
      <c r="C16" s="30">
        <f>COUNTIF(D17:D22,TRUE)</f>
        <v>0</v>
      </c>
      <c r="D16" s="3" t="s">
        <v>10</v>
      </c>
      <c r="E16" s="3" t="s">
        <v>11</v>
      </c>
      <c r="F16" s="3" t="s">
        <v>12</v>
      </c>
      <c r="G16" s="3" t="s">
        <v>10</v>
      </c>
      <c r="H16" s="31">
        <f>COUNTIF(G17:G22,TRUE)</f>
        <v>1</v>
      </c>
    </row>
    <row r="17">
      <c r="D17" s="32" t="b">
        <v>0</v>
      </c>
      <c r="E17" s="33" t="str">
        <f>IF(ISBLANK(E9),hardcoded!J28,E9)</f>
        <v>--</v>
      </c>
      <c r="F17" s="34" t="str">
        <f>IF(ISBLANK(F9),hardcoded!K28,F9)</f>
        <v>fossil</v>
      </c>
      <c r="G17" s="35" t="b">
        <v>1</v>
      </c>
      <c r="J17" s="36" t="s">
        <v>13</v>
      </c>
    </row>
    <row r="18">
      <c r="D18" s="37" t="b">
        <v>0</v>
      </c>
      <c r="E18" s="38" t="str">
        <f>IF(COUNTIF(E17,E10)&gt;0,hardcoded!J29,IF(ISBLANK(E10),hardcoded!J29,E10))</f>
        <v>---</v>
      </c>
      <c r="F18" s="39" t="str">
        <f>IF(COUNTIF(F17,F10)&gt;0,hardcoded!K29,IF(ISBLANK(F10),hardcoded!K29,F10))</f>
        <v>armour</v>
      </c>
      <c r="G18" s="40" t="b">
        <v>0</v>
      </c>
    </row>
    <row r="19">
      <c r="D19" s="37" t="b">
        <v>0</v>
      </c>
      <c r="E19" s="38" t="str">
        <f>IF(COUNTIF(E$17:E18,E11)&gt;0,hardcoded!J30,IF(ISBLANK(E11),hardcoded!J30,E11))</f>
        <v>----</v>
      </c>
      <c r="F19" s="39" t="str">
        <f>IF(COUNTIF(F$17:F18,F11)&gt;0,hardcoded!K30,IF(ISBLANK(F11),hardcoded!K30,F11))</f>
        <v>shrine</v>
      </c>
      <c r="G19" s="40" t="b">
        <v>0</v>
      </c>
    </row>
    <row r="20">
      <c r="D20" s="37" t="b">
        <v>0</v>
      </c>
      <c r="E20" s="38" t="str">
        <f>IF(COUNTIF(E$17:E19,E12)&gt;0,hardcoded!J31,IF(ISBLANK(E12),hardcoded!J31,E12))</f>
        <v>-----</v>
      </c>
      <c r="F20" s="39" t="str">
        <f>IF(COUNTIF(F$17:F19,F12)&gt;0,hardcoded!K31,IF(ISBLANK(F12),hardcoded!K31,F12))</f>
        <v>-----</v>
      </c>
      <c r="G20" s="40" t="b">
        <v>0</v>
      </c>
      <c r="H20" s="41"/>
    </row>
    <row r="21">
      <c r="D21" s="42" t="b">
        <v>0</v>
      </c>
      <c r="E21" s="38" t="str">
        <f>IF(COUNTIF(E$17:E20,E13)&gt;0,hardcoded!J32,IF(ISBLANK(E13),hardcoded!J32,E13))</f>
        <v>------</v>
      </c>
      <c r="F21" s="39" t="str">
        <f>IF(COUNTIF(F$17:F20,F13)&gt;0,hardcoded!K32,IF(ISBLANK(F13),hardcoded!K32,F13))</f>
        <v>------</v>
      </c>
      <c r="G21" s="40" t="b">
        <v>0</v>
      </c>
    </row>
    <row r="22">
      <c r="D22" s="43" t="b">
        <v>0</v>
      </c>
      <c r="E22" s="44" t="str">
        <f>IF(COUNTIF(E$17:E21,E14)&gt;0,hardcoded!J33,IF(ISBLANK(E14),hardcoded!J33,E14))</f>
        <v>-------</v>
      </c>
      <c r="F22" s="45" t="str">
        <f>IF(COUNTIF(F$17:F21,F14)&gt;0,hardcoded!K33,IF(ISBLANK(F14),hardcoded!K33,F14))</f>
        <v>-------</v>
      </c>
      <c r="G22" s="46" t="b">
        <v>0</v>
      </c>
    </row>
    <row r="23">
      <c r="E23" s="3"/>
      <c r="F23" s="3"/>
    </row>
    <row r="24">
      <c r="E24" s="3"/>
      <c r="F24" s="3"/>
    </row>
    <row r="25">
      <c r="E25" s="47" t="s">
        <v>14</v>
      </c>
      <c r="F25" s="48"/>
      <c r="H25" s="49" t="s">
        <v>15</v>
      </c>
    </row>
    <row r="26">
      <c r="E26" s="50">
        <f>D31*G31</f>
        <v>0.6333333333</v>
      </c>
      <c r="F26" s="51"/>
      <c r="G26" s="52"/>
    </row>
    <row r="27">
      <c r="E27" s="3"/>
      <c r="F27" s="3"/>
    </row>
    <row r="28">
      <c r="E28" s="3"/>
      <c r="F28" s="3"/>
    </row>
    <row r="29">
      <c r="E29" s="3"/>
      <c r="F29" s="3"/>
    </row>
    <row r="30">
      <c r="C30" s="30" t="s">
        <v>16</v>
      </c>
      <c r="F30" s="30" t="s">
        <v>17</v>
      </c>
      <c r="G30" s="53"/>
    </row>
    <row r="31">
      <c r="C31" s="30" t="s">
        <v>18</v>
      </c>
      <c r="D31" s="53">
        <f>IF(C16=0,1,SUM(E42:E44))</f>
        <v>1</v>
      </c>
      <c r="F31" s="30" t="s">
        <v>18</v>
      </c>
      <c r="G31" s="53">
        <f>IF(H16=0,1,SUM(H42:H44))</f>
        <v>0.6333333333</v>
      </c>
    </row>
    <row r="32">
      <c r="E32" s="3"/>
      <c r="F32" s="3"/>
    </row>
    <row r="33">
      <c r="D33" s="54" t="s">
        <v>19</v>
      </c>
      <c r="E33" s="3"/>
      <c r="F33" s="3"/>
    </row>
    <row r="34">
      <c r="E34" s="3"/>
      <c r="F34" s="3"/>
    </row>
    <row r="35">
      <c r="E35" s="55" t="s">
        <v>20</v>
      </c>
      <c r="F35" s="55" t="s">
        <v>21</v>
      </c>
    </row>
    <row r="36">
      <c r="E36" s="56">
        <f t="array" ref="E36">SUMPRODUCT(1/COUNTIF(E17:E22,E17:E22))-COUNTIF(E17:E22,"--")-COUNTIF(E17:E22,"---")-COUNTIF(E17:E22,"----")-COUNTIF(E17:E22,"-----")-COUNTIF(E17:E22,"------")-COUNTIF(E17:E22,"-------")</f>
        <v>0</v>
      </c>
      <c r="F36" s="56">
        <f t="array" ref="F36">SUMPRODUCT(1/COUNTIF(F17:F22,F17:F22))-COUNTIF(F17:F22,"--")-COUNTIF(F17:F22,"---")-COUNTIF(F17:F22,"----")-COUNTIF(F17:F22,"-----")-COUNTIF(F17:F22,"------")-COUNTIF(F17:F22,"-------")</f>
        <v>3</v>
      </c>
    </row>
    <row r="37">
      <c r="A37" s="1"/>
      <c r="B37" s="1"/>
      <c r="C37" s="57"/>
      <c r="D37" s="58"/>
      <c r="E37" s="59" t="s">
        <v>22</v>
      </c>
      <c r="F37" s="57"/>
      <c r="G37" s="58"/>
      <c r="H37" s="59" t="s">
        <v>23</v>
      </c>
    </row>
    <row r="38">
      <c r="A38" s="1"/>
      <c r="B38" s="1"/>
      <c r="C38" s="21"/>
      <c r="D38" s="60">
        <v>1.0</v>
      </c>
      <c r="E38" s="61">
        <f t="array" ref="E38">INDEX(hardcoded!D3:G9,E15+1,D38+1)</f>
        <v>1</v>
      </c>
      <c r="F38" s="21"/>
      <c r="G38" s="60">
        <v>1.0</v>
      </c>
      <c r="H38" s="61">
        <f t="array" ref="H38">INDEX(hardcoded!$D$3:$G$9,F15+1,G38+1)</f>
        <v>0.3</v>
      </c>
    </row>
    <row r="39">
      <c r="A39" s="1"/>
      <c r="B39" s="1"/>
      <c r="C39" s="14"/>
      <c r="D39" s="60">
        <f t="shared" ref="D39:D40" si="2">D38+1</f>
        <v>2</v>
      </c>
      <c r="E39" s="61">
        <f t="array" ref="E39">INDEX(hardcoded!D3:G9,E15+1,D39+1)</f>
        <v>2</v>
      </c>
      <c r="F39" s="14"/>
      <c r="G39" s="60">
        <v>2.0</v>
      </c>
      <c r="H39" s="61">
        <f t="array" ref="H39">INDEX(hardcoded!$D$3:$G$9,F15+1,G39+1)</f>
        <v>0.5</v>
      </c>
    </row>
    <row r="40" ht="15.75" customHeight="1">
      <c r="A40" s="1"/>
      <c r="B40" s="1"/>
      <c r="C40" s="16"/>
      <c r="D40" s="62">
        <f t="shared" si="2"/>
        <v>3</v>
      </c>
      <c r="E40" s="63">
        <f t="array" ref="E40">IF(C16=0,1,INDEX(hardcoded!D3:G9,E15+1,D40+1))</f>
        <v>1</v>
      </c>
      <c r="F40" s="16"/>
      <c r="G40" s="62">
        <v>3.0</v>
      </c>
      <c r="H40" s="63">
        <f t="array" ref="H40">INDEX(hardcoded!$D$3:$G$9,F15+1,G40+1)</f>
        <v>0.2</v>
      </c>
      <c r="I40" s="64" t="s">
        <v>24</v>
      </c>
    </row>
    <row r="41" ht="15.75" customHeight="1">
      <c r="A41" s="1"/>
      <c r="B41" s="1"/>
      <c r="C41" s="57"/>
      <c r="D41" s="58"/>
      <c r="E41" s="65" t="s">
        <v>18</v>
      </c>
      <c r="F41" s="57" t="s">
        <v>25</v>
      </c>
      <c r="G41" s="58"/>
      <c r="H41" s="65" t="s">
        <v>18</v>
      </c>
      <c r="I41" s="66">
        <f>H16</f>
        <v>1</v>
      </c>
    </row>
    <row r="42" ht="15.75" customHeight="1">
      <c r="A42" s="1"/>
      <c r="B42" s="1"/>
      <c r="C42" s="67" t="str">
        <f>CONCATENATE(1,"-",IF($E$36=1,1,D54+D55))</f>
        <v>1-0</v>
      </c>
      <c r="D42" s="68" t="str">
        <f t="array" ref="D42">IF(C16=0,"--",INDEX(hardcoded!$E$16:$G$33,VLOOKUP(C42,hardcoded!$E$35:$F$52,2,0),C16))</f>
        <v>--</v>
      </c>
      <c r="E42" s="69" t="str">
        <f t="shared" ref="E42:E44" si="3">IFERROR(E38*D42,"")</f>
        <v/>
      </c>
      <c r="F42" s="67" t="str">
        <f>CONCATENATE(1,"-",IF($F$36=1,1,G54+G55))</f>
        <v>1-3</v>
      </c>
      <c r="G42" s="70">
        <f t="array" ref="G42">IF(H16=0,"--",INDEX(hardcoded!$E$16:$G$33,VLOOKUP(F42,hardcoded!$E$35:$F$52,2,0),Calc!$I$41))</f>
        <v>0.3333333333</v>
      </c>
      <c r="H42" s="69">
        <f t="shared" ref="H42:H44" si="4">IFERROR(H38*G42,"")</f>
        <v>0.1</v>
      </c>
    </row>
    <row r="43" ht="15.75" customHeight="1">
      <c r="A43" s="71"/>
      <c r="B43" s="71"/>
      <c r="C43" s="67" t="str">
        <f>CONCATENATE(2,"-",IF($E$36=2,2,D54+D55))</f>
        <v>2-0</v>
      </c>
      <c r="D43" s="68" t="str">
        <f t="array" ref="D43">IF(C16=0,"--",INDEX(hardcoded!$E$16:$G$33,VLOOKUP(C43,hardcoded!$E$35:$F$52,2,0),C16))</f>
        <v>--</v>
      </c>
      <c r="E43" s="69" t="str">
        <f t="shared" si="3"/>
        <v/>
      </c>
      <c r="F43" s="67" t="str">
        <f>CONCATENATE(2,"-",IF($F$36=2,2,G54+G55))</f>
        <v>2-3</v>
      </c>
      <c r="G43" s="70">
        <f t="array" ref="G43">IF(H16=0,"--",INDEX(hardcoded!$E$16:$G$33,VLOOKUP(F43,hardcoded!$E$35:$F$52,2,0),Calc!$I$41))</f>
        <v>0.6666666667</v>
      </c>
      <c r="H43" s="69">
        <f t="shared" si="4"/>
        <v>0.3333333333</v>
      </c>
    </row>
    <row r="44" ht="15.75" customHeight="1">
      <c r="A44" s="71"/>
      <c r="B44" s="71"/>
      <c r="C44" s="72" t="str">
        <f>CONCATENATE(3,"-",IF($E$36=3,3,D54+D55))</f>
        <v>3-0</v>
      </c>
      <c r="D44" s="73" t="str">
        <f t="array" ref="D44">IF(C16=0,"--",INDEX(hardcoded!$E$16:$G$33,VLOOKUP(C44,hardcoded!$E$35:$F$52,2,0),C16))</f>
        <v>--</v>
      </c>
      <c r="E44" s="74" t="str">
        <f t="shared" si="3"/>
        <v/>
      </c>
      <c r="F44" s="72" t="str">
        <f>CONCATENATE(3,"-",IF($F$36=3,3,G54+G55))</f>
        <v>3-3</v>
      </c>
      <c r="G44" s="75">
        <f t="array" ref="G44">IF(H16=0,"--",INDEX(hardcoded!$E$16:$G$33,VLOOKUP(F44,hardcoded!$E$35:$F$52,2,0),Calc!$I$41))</f>
        <v>1</v>
      </c>
      <c r="H44" s="74">
        <f t="shared" si="4"/>
        <v>0.2</v>
      </c>
    </row>
    <row r="45" ht="15.75" customHeight="1">
      <c r="A45" s="76"/>
      <c r="B45" s="76"/>
    </row>
    <row r="46" ht="15.75" customHeight="1">
      <c r="I46" s="30">
        <f>COUNTIF(J17:J22,TRUE)</f>
        <v>0</v>
      </c>
    </row>
    <row r="47" ht="15.75" customHeight="1">
      <c r="C47" s="54" t="s">
        <v>26</v>
      </c>
      <c r="D47" s="54" t="s">
        <v>27</v>
      </c>
      <c r="F47" s="54" t="s">
        <v>26</v>
      </c>
      <c r="G47" s="54" t="s">
        <v>27</v>
      </c>
      <c r="I47" s="30">
        <f t="shared" ref="I47:I52" si="5">countif(K9:K14,K17)</f>
        <v>0</v>
      </c>
    </row>
    <row r="48" ht="15.75" customHeight="1">
      <c r="C48" s="30">
        <f t="shared" ref="C48:C53" si="6">if(AND(E48&gt;0,D17),1,0)</f>
        <v>0</v>
      </c>
      <c r="D48" s="30">
        <f t="shared" ref="D48:D53" si="7">if(NOT(D17),E48,0)</f>
        <v>0</v>
      </c>
      <c r="E48" s="30">
        <f t="shared" ref="E48:E53" si="8">countif(E9:E14,E17)</f>
        <v>0</v>
      </c>
      <c r="F48" s="30">
        <f t="shared" ref="F48:F53" si="9">if(AND(H48&gt;0,G17),1,0)</f>
        <v>1</v>
      </c>
      <c r="G48" s="30">
        <f t="shared" ref="G48:G53" si="10">if(NOT(G17),H48,0)</f>
        <v>0</v>
      </c>
      <c r="H48" s="30">
        <f t="shared" ref="H48:H53" si="11">countif(F9:F14,F17)</f>
        <v>1</v>
      </c>
      <c r="I48" s="30">
        <f t="shared" si="5"/>
        <v>0</v>
      </c>
    </row>
    <row r="49" ht="15.75" customHeight="1">
      <c r="C49" s="30">
        <f t="shared" si="6"/>
        <v>0</v>
      </c>
      <c r="D49" s="30">
        <f t="shared" si="7"/>
        <v>0</v>
      </c>
      <c r="E49" s="30">
        <f t="shared" si="8"/>
        <v>0</v>
      </c>
      <c r="F49" s="30">
        <f t="shared" si="9"/>
        <v>0</v>
      </c>
      <c r="G49" s="30">
        <f t="shared" si="10"/>
        <v>1</v>
      </c>
      <c r="H49" s="30">
        <f t="shared" si="11"/>
        <v>1</v>
      </c>
      <c r="I49" s="30">
        <f t="shared" si="5"/>
        <v>0</v>
      </c>
    </row>
    <row r="50" ht="15.75" customHeight="1">
      <c r="C50" s="30">
        <f t="shared" si="6"/>
        <v>0</v>
      </c>
      <c r="D50" s="30">
        <f t="shared" si="7"/>
        <v>0</v>
      </c>
      <c r="E50" s="30">
        <f t="shared" si="8"/>
        <v>0</v>
      </c>
      <c r="F50" s="30">
        <f t="shared" si="9"/>
        <v>0</v>
      </c>
      <c r="G50" s="30">
        <f t="shared" si="10"/>
        <v>1</v>
      </c>
      <c r="H50" s="30">
        <f t="shared" si="11"/>
        <v>1</v>
      </c>
      <c r="I50" s="30">
        <f t="shared" si="5"/>
        <v>0</v>
      </c>
    </row>
    <row r="51" ht="15.75" customHeight="1">
      <c r="C51" s="30">
        <f t="shared" si="6"/>
        <v>0</v>
      </c>
      <c r="D51" s="30">
        <f t="shared" si="7"/>
        <v>0</v>
      </c>
      <c r="E51" s="30">
        <f t="shared" si="8"/>
        <v>0</v>
      </c>
      <c r="F51" s="30">
        <f t="shared" si="9"/>
        <v>0</v>
      </c>
      <c r="G51" s="30">
        <f t="shared" si="10"/>
        <v>0</v>
      </c>
      <c r="H51" s="30">
        <f t="shared" si="11"/>
        <v>0</v>
      </c>
      <c r="I51" s="30">
        <f t="shared" si="5"/>
        <v>0</v>
      </c>
    </row>
    <row r="52" ht="15.75" customHeight="1">
      <c r="C52" s="30">
        <f t="shared" si="6"/>
        <v>0</v>
      </c>
      <c r="D52" s="30">
        <f t="shared" si="7"/>
        <v>0</v>
      </c>
      <c r="E52" s="30">
        <f t="shared" si="8"/>
        <v>0</v>
      </c>
      <c r="F52" s="30">
        <f t="shared" si="9"/>
        <v>0</v>
      </c>
      <c r="G52" s="30">
        <f t="shared" si="10"/>
        <v>0</v>
      </c>
      <c r="H52" s="30">
        <f t="shared" si="11"/>
        <v>0</v>
      </c>
      <c r="I52" s="30">
        <f t="shared" si="5"/>
        <v>0</v>
      </c>
    </row>
    <row r="53" ht="15.75" customHeight="1">
      <c r="C53" s="30">
        <f t="shared" si="6"/>
        <v>0</v>
      </c>
      <c r="D53" s="30">
        <f t="shared" si="7"/>
        <v>0</v>
      </c>
      <c r="E53" s="30">
        <f t="shared" si="8"/>
        <v>0</v>
      </c>
      <c r="F53" s="30">
        <f t="shared" si="9"/>
        <v>0</v>
      </c>
      <c r="G53" s="30">
        <f t="shared" si="10"/>
        <v>0</v>
      </c>
      <c r="H53" s="30">
        <f t="shared" si="11"/>
        <v>0</v>
      </c>
    </row>
    <row r="54" ht="15.75" customHeight="1">
      <c r="C54" s="54" t="s">
        <v>28</v>
      </c>
      <c r="D54" s="30">
        <f>SUM(C48:C53)</f>
        <v>0</v>
      </c>
      <c r="F54" s="54" t="s">
        <v>28</v>
      </c>
      <c r="G54" s="30">
        <f>SUM(F48:F53)</f>
        <v>1</v>
      </c>
    </row>
    <row r="55" ht="15.75" customHeight="1">
      <c r="C55" s="54" t="s">
        <v>27</v>
      </c>
      <c r="D55" s="30">
        <f>SUM(D48:D53)</f>
        <v>0</v>
      </c>
      <c r="F55" s="54" t="s">
        <v>27</v>
      </c>
      <c r="G55" s="30">
        <f>SUM(G48:G53)</f>
        <v>2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13">
    <mergeCell ref="E1:F6"/>
    <mergeCell ref="E25:F25"/>
    <mergeCell ref="C38:C40"/>
    <mergeCell ref="F38:F40"/>
    <mergeCell ref="H25:K28"/>
    <mergeCell ref="E26:F26"/>
    <mergeCell ref="J2:N7"/>
    <mergeCell ref="A9:B14"/>
    <mergeCell ref="D9:D11"/>
    <mergeCell ref="G9:G11"/>
    <mergeCell ref="D12:D14"/>
    <mergeCell ref="G12:G14"/>
    <mergeCell ref="J17:K22"/>
  </mergeCells>
  <conditionalFormatting sqref="E26:F26">
    <cfRule type="colorScale" priority="1">
      <colorScale>
        <cfvo type="formula" val="0"/>
        <cfvo type="formula" val="1"/>
        <color rgb="FFFCAEAE"/>
        <color rgb="FFC5E0B3"/>
      </colorScale>
    </cfRule>
  </conditionalFormatting>
  <conditionalFormatting sqref="E17:E22">
    <cfRule type="expression" dxfId="0" priority="2">
      <formula>D17=TRUE</formula>
    </cfRule>
  </conditionalFormatting>
  <conditionalFormatting sqref="F17:F22">
    <cfRule type="expression" dxfId="0" priority="3">
      <formula>G17=TRUE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D3" s="30" t="s">
        <v>29</v>
      </c>
      <c r="E3" s="30">
        <v>1.0</v>
      </c>
      <c r="F3" s="30">
        <v>2.0</v>
      </c>
      <c r="G3" s="30">
        <v>3.0</v>
      </c>
    </row>
    <row r="4">
      <c r="D4" s="30">
        <v>1.0</v>
      </c>
      <c r="E4" s="70">
        <f t="shared" ref="E4:E5" si="1">2/3</f>
        <v>0.6666666667</v>
      </c>
      <c r="F4" s="70"/>
      <c r="G4" s="70"/>
    </row>
    <row r="5">
      <c r="D5" s="30">
        <v>2.0</v>
      </c>
      <c r="E5" s="70">
        <f t="shared" si="1"/>
        <v>0.6666666667</v>
      </c>
      <c r="F5" s="70">
        <f>1/3</f>
        <v>0.3333333333</v>
      </c>
      <c r="G5" s="70"/>
    </row>
    <row r="6">
      <c r="D6" s="30">
        <v>3.0</v>
      </c>
      <c r="E6" s="70">
        <v>0.3</v>
      </c>
      <c r="F6" s="70">
        <f>5/10</f>
        <v>0.5</v>
      </c>
      <c r="G6" s="70">
        <v>0.2</v>
      </c>
    </row>
    <row r="7">
      <c r="D7" s="30">
        <v>4.0</v>
      </c>
      <c r="E7" s="70">
        <v>0.1</v>
      </c>
      <c r="F7" s="70">
        <f>11/20</f>
        <v>0.55</v>
      </c>
      <c r="G7" s="70">
        <v>0.35</v>
      </c>
    </row>
    <row r="8">
      <c r="D8" s="30">
        <v>5.0</v>
      </c>
      <c r="E8" s="70"/>
      <c r="F8" s="70">
        <f t="shared" ref="F8:G8" si="2">1/2</f>
        <v>0.5</v>
      </c>
      <c r="G8" s="70">
        <f t="shared" si="2"/>
        <v>0.5</v>
      </c>
    </row>
    <row r="9">
      <c r="D9" s="30">
        <v>6.0</v>
      </c>
      <c r="E9" s="70"/>
      <c r="F9" s="70">
        <f>3/10</f>
        <v>0.3</v>
      </c>
      <c r="G9" s="70">
        <f>7/10</f>
        <v>0.7</v>
      </c>
    </row>
    <row r="15">
      <c r="E15" s="77">
        <v>1.0</v>
      </c>
      <c r="F15" s="77">
        <v>2.0</v>
      </c>
      <c r="G15" s="77">
        <v>3.0</v>
      </c>
    </row>
    <row r="16">
      <c r="B16" s="30">
        <v>1.0</v>
      </c>
      <c r="C16" s="30">
        <v>1.0</v>
      </c>
      <c r="D16" s="30" t="str">
        <f t="shared" ref="D16:D33" si="3">CONCATENATE(B16,"-",C16)</f>
        <v>1-1</v>
      </c>
      <c r="E16" s="78">
        <v>1.0</v>
      </c>
      <c r="F16" s="79">
        <v>0.0</v>
      </c>
      <c r="G16" s="80">
        <v>0.0</v>
      </c>
    </row>
    <row r="17">
      <c r="B17" s="30">
        <v>1.0</v>
      </c>
      <c r="C17" s="30">
        <v>2.0</v>
      </c>
      <c r="D17" s="30" t="str">
        <f t="shared" si="3"/>
        <v>1-2</v>
      </c>
      <c r="E17" s="81">
        <v>0.5</v>
      </c>
      <c r="F17" s="68">
        <v>0.0</v>
      </c>
      <c r="G17" s="82">
        <v>0.0</v>
      </c>
    </row>
    <row r="18">
      <c r="B18" s="30">
        <v>1.0</v>
      </c>
      <c r="C18" s="30">
        <v>3.0</v>
      </c>
      <c r="D18" s="30" t="str">
        <f t="shared" si="3"/>
        <v>1-3</v>
      </c>
      <c r="E18" s="81">
        <v>0.3333333333333333</v>
      </c>
      <c r="F18" s="68">
        <v>0.0</v>
      </c>
      <c r="G18" s="82">
        <v>0.0</v>
      </c>
    </row>
    <row r="19">
      <c r="B19" s="30">
        <v>1.0</v>
      </c>
      <c r="C19" s="30">
        <v>4.0</v>
      </c>
      <c r="D19" s="30" t="str">
        <f t="shared" si="3"/>
        <v>1-4</v>
      </c>
      <c r="E19" s="81">
        <v>0.25</v>
      </c>
      <c r="F19" s="68">
        <v>0.0</v>
      </c>
      <c r="G19" s="82">
        <v>0.0</v>
      </c>
    </row>
    <row r="20">
      <c r="B20" s="30">
        <v>1.0</v>
      </c>
      <c r="C20" s="30">
        <v>5.0</v>
      </c>
      <c r="D20" s="30" t="str">
        <f t="shared" si="3"/>
        <v>1-5</v>
      </c>
      <c r="E20" s="81">
        <v>0.2</v>
      </c>
      <c r="F20" s="68">
        <v>0.0</v>
      </c>
      <c r="G20" s="82">
        <v>0.0</v>
      </c>
    </row>
    <row r="21" ht="15.75" customHeight="1">
      <c r="B21" s="30">
        <v>1.0</v>
      </c>
      <c r="C21" s="30">
        <v>6.0</v>
      </c>
      <c r="D21" s="30" t="str">
        <f t="shared" si="3"/>
        <v>1-6</v>
      </c>
      <c r="E21" s="81">
        <v>0.16666666666666666</v>
      </c>
      <c r="F21" s="68">
        <v>0.0</v>
      </c>
      <c r="G21" s="82">
        <v>0.0</v>
      </c>
    </row>
    <row r="22" ht="15.75" customHeight="1">
      <c r="B22" s="30">
        <v>2.0</v>
      </c>
      <c r="C22" s="30">
        <v>1.0</v>
      </c>
      <c r="D22" s="30" t="str">
        <f t="shared" si="3"/>
        <v>2-1</v>
      </c>
      <c r="E22" s="81">
        <v>1.0</v>
      </c>
      <c r="F22" s="68">
        <v>1.0</v>
      </c>
      <c r="G22" s="68">
        <v>1.0</v>
      </c>
    </row>
    <row r="23" ht="15.75" customHeight="1">
      <c r="B23" s="30">
        <v>2.0</v>
      </c>
      <c r="C23" s="30">
        <v>2.0</v>
      </c>
      <c r="D23" s="30" t="str">
        <f t="shared" si="3"/>
        <v>2-2</v>
      </c>
      <c r="E23" s="81">
        <v>1.0</v>
      </c>
      <c r="F23" s="68">
        <v>1.0</v>
      </c>
      <c r="G23" s="82">
        <v>0.0</v>
      </c>
    </row>
    <row r="24" ht="15.75" customHeight="1">
      <c r="B24" s="30">
        <v>2.0</v>
      </c>
      <c r="C24" s="30">
        <v>3.0</v>
      </c>
      <c r="D24" s="30" t="str">
        <f t="shared" si="3"/>
        <v>2-3</v>
      </c>
      <c r="E24" s="81">
        <f>2/3</f>
        <v>0.6666666667</v>
      </c>
      <c r="F24" s="68">
        <f>1/3</f>
        <v>0.3333333333</v>
      </c>
      <c r="G24" s="82">
        <v>0.0</v>
      </c>
    </row>
    <row r="25" ht="15.75" customHeight="1">
      <c r="B25" s="30">
        <v>2.0</v>
      </c>
      <c r="C25" s="30">
        <v>4.0</v>
      </c>
      <c r="D25" s="30" t="str">
        <f t="shared" si="3"/>
        <v>2-4</v>
      </c>
      <c r="E25" s="81">
        <f>3/6</f>
        <v>0.5</v>
      </c>
      <c r="F25" s="68">
        <f>1/6</f>
        <v>0.1666666667</v>
      </c>
      <c r="G25" s="82">
        <v>0.0</v>
      </c>
    </row>
    <row r="26" ht="15.75" customHeight="1">
      <c r="B26" s="30">
        <v>2.0</v>
      </c>
      <c r="C26" s="30">
        <v>5.0</v>
      </c>
      <c r="D26" s="30" t="str">
        <f t="shared" si="3"/>
        <v>2-5</v>
      </c>
      <c r="E26" s="81">
        <f>4/10</f>
        <v>0.4</v>
      </c>
      <c r="F26" s="68">
        <v>0.1</v>
      </c>
      <c r="G26" s="82">
        <v>0.0</v>
      </c>
    </row>
    <row r="27" ht="15.75" customHeight="1">
      <c r="B27" s="30">
        <v>2.0</v>
      </c>
      <c r="C27" s="30">
        <v>6.0</v>
      </c>
      <c r="D27" s="30" t="str">
        <f t="shared" si="3"/>
        <v>2-6</v>
      </c>
      <c r="E27" s="81">
        <f>5/15</f>
        <v>0.3333333333</v>
      </c>
      <c r="F27" s="68">
        <f>1/15</f>
        <v>0.06666666667</v>
      </c>
      <c r="G27" s="82">
        <v>0.0</v>
      </c>
      <c r="J27" s="30" t="s">
        <v>30</v>
      </c>
    </row>
    <row r="28" ht="15.75" customHeight="1">
      <c r="B28" s="30">
        <v>3.0</v>
      </c>
      <c r="C28" s="30">
        <v>1.0</v>
      </c>
      <c r="D28" s="30" t="str">
        <f t="shared" si="3"/>
        <v>3-1</v>
      </c>
      <c r="E28" s="81">
        <v>1.0</v>
      </c>
      <c r="F28" s="68">
        <v>1.0</v>
      </c>
      <c r="G28" s="82">
        <v>1.0</v>
      </c>
      <c r="J28" s="83" t="s">
        <v>31</v>
      </c>
      <c r="K28" s="83" t="s">
        <v>31</v>
      </c>
    </row>
    <row r="29" ht="15.75" customHeight="1">
      <c r="B29" s="30">
        <v>3.0</v>
      </c>
      <c r="C29" s="30">
        <v>2.0</v>
      </c>
      <c r="D29" s="30" t="str">
        <f t="shared" si="3"/>
        <v>3-2</v>
      </c>
      <c r="E29" s="81">
        <v>1.0</v>
      </c>
      <c r="F29" s="68">
        <v>1.0</v>
      </c>
      <c r="G29" s="82">
        <v>1.0</v>
      </c>
      <c r="J29" s="83" t="s">
        <v>32</v>
      </c>
      <c r="K29" s="83" t="s">
        <v>32</v>
      </c>
    </row>
    <row r="30" ht="15.75" customHeight="1">
      <c r="B30" s="30">
        <v>3.0</v>
      </c>
      <c r="C30" s="30">
        <v>3.0</v>
      </c>
      <c r="D30" s="30" t="str">
        <f t="shared" si="3"/>
        <v>3-3</v>
      </c>
      <c r="E30" s="81">
        <v>1.0</v>
      </c>
      <c r="F30" s="68">
        <v>1.0</v>
      </c>
      <c r="G30" s="82">
        <v>1.0</v>
      </c>
      <c r="J30" s="83" t="s">
        <v>33</v>
      </c>
      <c r="K30" s="83" t="s">
        <v>33</v>
      </c>
    </row>
    <row r="31" ht="15.75" customHeight="1">
      <c r="B31" s="30">
        <v>3.0</v>
      </c>
      <c r="C31" s="30">
        <v>4.0</v>
      </c>
      <c r="D31" s="30" t="str">
        <f t="shared" si="3"/>
        <v>3-4</v>
      </c>
      <c r="E31" s="81">
        <v>0.75</v>
      </c>
      <c r="F31" s="68">
        <v>0.5</v>
      </c>
      <c r="G31" s="82">
        <f>1/4</f>
        <v>0.25</v>
      </c>
      <c r="J31" s="83" t="s">
        <v>34</v>
      </c>
      <c r="K31" s="83" t="s">
        <v>34</v>
      </c>
    </row>
    <row r="32" ht="15.75" customHeight="1">
      <c r="B32" s="30">
        <v>3.0</v>
      </c>
      <c r="C32" s="30">
        <v>5.0</v>
      </c>
      <c r="D32" s="30" t="str">
        <f t="shared" si="3"/>
        <v>3-5</v>
      </c>
      <c r="E32" s="81">
        <v>0.6</v>
      </c>
      <c r="F32" s="68">
        <f>3/10</f>
        <v>0.3</v>
      </c>
      <c r="G32" s="82">
        <v>0.1</v>
      </c>
      <c r="J32" s="83" t="s">
        <v>35</v>
      </c>
      <c r="K32" s="83" t="s">
        <v>35</v>
      </c>
    </row>
    <row r="33" ht="15.75" customHeight="1">
      <c r="B33" s="30">
        <v>3.0</v>
      </c>
      <c r="C33" s="30">
        <v>6.0</v>
      </c>
      <c r="D33" s="30" t="str">
        <f t="shared" si="3"/>
        <v>3-6</v>
      </c>
      <c r="E33" s="84">
        <f>10/20</f>
        <v>0.5</v>
      </c>
      <c r="F33" s="73">
        <f>4/20</f>
        <v>0.2</v>
      </c>
      <c r="G33" s="85">
        <f>1/20</f>
        <v>0.05</v>
      </c>
      <c r="J33" s="83" t="s">
        <v>36</v>
      </c>
      <c r="K33" s="83" t="s">
        <v>36</v>
      </c>
    </row>
    <row r="34" ht="15.75" customHeight="1">
      <c r="J34" s="83" t="s">
        <v>37</v>
      </c>
      <c r="K34" s="83" t="s">
        <v>37</v>
      </c>
    </row>
    <row r="35" ht="15.75" customHeight="1">
      <c r="E35" s="30" t="s">
        <v>38</v>
      </c>
      <c r="F35" s="30">
        <v>1.0</v>
      </c>
    </row>
    <row r="36" ht="15.75" customHeight="1">
      <c r="E36" s="30" t="s">
        <v>39</v>
      </c>
      <c r="F36" s="30">
        <v>2.0</v>
      </c>
    </row>
    <row r="37" ht="15.75" customHeight="1">
      <c r="E37" s="30" t="s">
        <v>40</v>
      </c>
      <c r="F37" s="30">
        <v>3.0</v>
      </c>
    </row>
    <row r="38" ht="15.75" customHeight="1">
      <c r="E38" s="30" t="s">
        <v>41</v>
      </c>
      <c r="F38" s="30">
        <v>4.0</v>
      </c>
    </row>
    <row r="39" ht="15.75" customHeight="1">
      <c r="E39" s="30" t="s">
        <v>42</v>
      </c>
      <c r="F39" s="30">
        <v>5.0</v>
      </c>
    </row>
    <row r="40" ht="15.75" customHeight="1">
      <c r="E40" s="30" t="s">
        <v>43</v>
      </c>
      <c r="F40" s="30">
        <v>6.0</v>
      </c>
    </row>
    <row r="41" ht="15.75" customHeight="1">
      <c r="E41" s="30" t="s">
        <v>44</v>
      </c>
      <c r="F41" s="30">
        <v>7.0</v>
      </c>
    </row>
    <row r="42" ht="15.75" customHeight="1">
      <c r="E42" s="30" t="s">
        <v>45</v>
      </c>
      <c r="F42" s="30">
        <v>8.0</v>
      </c>
    </row>
    <row r="43" ht="15.75" customHeight="1">
      <c r="E43" s="30" t="s">
        <v>46</v>
      </c>
      <c r="F43" s="30">
        <v>9.0</v>
      </c>
    </row>
    <row r="44" ht="15.75" customHeight="1">
      <c r="E44" s="30" t="s">
        <v>47</v>
      </c>
      <c r="F44" s="30">
        <v>10.0</v>
      </c>
    </row>
    <row r="45" ht="15.75" customHeight="1">
      <c r="E45" s="30" t="s">
        <v>48</v>
      </c>
      <c r="F45" s="30">
        <v>11.0</v>
      </c>
    </row>
    <row r="46" ht="15.75" customHeight="1">
      <c r="E46" s="30" t="s">
        <v>49</v>
      </c>
      <c r="F46" s="30">
        <v>12.0</v>
      </c>
    </row>
    <row r="47" ht="15.75" customHeight="1">
      <c r="E47" s="30" t="s">
        <v>50</v>
      </c>
      <c r="F47" s="30">
        <v>13.0</v>
      </c>
    </row>
    <row r="48" ht="15.75" customHeight="1">
      <c r="E48" s="30" t="s">
        <v>51</v>
      </c>
      <c r="F48" s="30">
        <v>14.0</v>
      </c>
    </row>
    <row r="49" ht="15.75" customHeight="1">
      <c r="E49" s="30" t="s">
        <v>52</v>
      </c>
      <c r="F49" s="30">
        <v>15.0</v>
      </c>
    </row>
    <row r="50" ht="15.75" customHeight="1">
      <c r="E50" s="30" t="s">
        <v>53</v>
      </c>
      <c r="F50" s="30">
        <v>16.0</v>
      </c>
    </row>
    <row r="51" ht="15.75" customHeight="1">
      <c r="E51" s="30" t="s">
        <v>54</v>
      </c>
      <c r="F51" s="30">
        <v>17.0</v>
      </c>
    </row>
    <row r="52" ht="15.75" customHeight="1">
      <c r="E52" s="30" t="s">
        <v>55</v>
      </c>
      <c r="F52" s="30">
        <v>18.0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